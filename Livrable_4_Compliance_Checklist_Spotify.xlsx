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dmin\Documents\certif\bloc1\livrables\"/>
    </mc:Choice>
  </mc:AlternateContent>
  <xr:revisionPtr revIDLastSave="0" documentId="13_ncr:1_{2514D3D9-67E0-4B21-857B-102820BE57D1}" xr6:coauthVersionLast="47" xr6:coauthVersionMax="47" xr10:uidLastSave="{00000000-0000-0000-0000-000000000000}"/>
  <bookViews>
    <workbookView xWindow="-120" yWindow="-120" windowWidth="29040" windowHeight="15720" activeTab="1" xr2:uid="{00000000-000D-0000-FFFF-FFFF00000000}"/>
  </bookViews>
  <sheets>
    <sheet name="Synthèse &amp; SMSI" sheetId="1" r:id="rId1"/>
    <sheet name="Décl. d'Applicabilité (SoA)" sheetId="2" r:id="rId2"/>
    <sheet name="Matrice d'Audit" sheetId="3" r:id="rId3"/>
  </sheets>
  <calcPr calcId="181029"/>
</workbook>
</file>

<file path=xl/calcChain.xml><?xml version="1.0" encoding="utf-8"?>
<calcChain xmlns="http://schemas.openxmlformats.org/spreadsheetml/2006/main">
  <c r="C16" i="1" l="1"/>
  <c r="C15" i="1"/>
  <c r="C14" i="1"/>
  <c r="C13" i="1"/>
  <c r="C12" i="1"/>
</calcChain>
</file>

<file path=xl/sharedStrings.xml><?xml version="1.0" encoding="utf-8"?>
<sst xmlns="http://schemas.openxmlformats.org/spreadsheetml/2006/main" count="291" uniqueCount="198">
  <si>
    <t>TABLEAU DE BORD DE CONFORMITÉ &amp; MANAGEMENT DU SMSI</t>
  </si>
  <si>
    <t>1. Périmètre d'Application du SMSI (ISO/IEC 27001:2022)</t>
  </si>
  <si>
    <t>2. Statistiques de Conformité Réglementaire</t>
  </si>
  <si>
    <t>Indicateur</t>
  </si>
  <si>
    <t>Formule active</t>
  </si>
  <si>
    <t>Seuil Cible</t>
  </si>
  <si>
    <t>Nombre de contrôles réglementaires audités</t>
  </si>
  <si>
    <t>COUNTA</t>
  </si>
  <si>
    <t>14</t>
  </si>
  <si>
    <t>Nombre de contrôles conformes (Yes)</t>
  </si>
  <si>
    <t>COUNTIF</t>
  </si>
  <si>
    <t>Nombre de contrôles non conformes (No)</t>
  </si>
  <si>
    <t>0</t>
  </si>
  <si>
    <t>Nombre de contrôles en cours de remédiation</t>
  </si>
  <si>
    <t>Taux de conformité global</t>
  </si>
  <si>
    <t>COUNTIF/COUNTA</t>
  </si>
  <si>
    <t>100.0%</t>
  </si>
  <si>
    <t>Note d'Audit :</t>
  </si>
  <si>
    <t>6 contrôles RGPD/CCPA sont actuellement en cours de remédiation active dans le cadre du projet pilote marketing (M1-M6). Le taux de conformité cible de 100% est exigé pour la fin du mois 6 avant le déploiement global aux divisions R&amp;D IA et Finance.</t>
  </si>
  <si>
    <t>DÉCLARATION D'APPLICABILITÉ (SoA) — ISO/IEC 27001:2022</t>
  </si>
  <si>
    <t>Cette déclaration détaille l'applicabilité des mesures de sécurité de l'Annexe A de la norme ISO/IEC 27001:2022 vis-à-vis du périmètre SMSI de Spotify.</t>
  </si>
  <si>
    <t>Mesure Annexe A</t>
  </si>
  <si>
    <t>Thème ISO</t>
  </si>
  <si>
    <t>Intitulé du Contrôle</t>
  </si>
  <si>
    <t>Applicable</t>
  </si>
  <si>
    <t>Statut</t>
  </si>
  <si>
    <t>Justification d'Applicabilité / Exclusion</t>
  </si>
  <si>
    <t>Référence Livrable / Preuve</t>
  </si>
  <si>
    <t>A.5.1</t>
  </si>
  <si>
    <t>Organisational</t>
  </si>
  <si>
    <t>Policies for information security</t>
  </si>
  <si>
    <t>Oui</t>
  </si>
  <si>
    <t>Implémenté</t>
  </si>
  <si>
    <t>Définit le cadre de gouvernance général et la PSSI globale de Spotify.</t>
  </si>
  <si>
    <t>Livrable 2 (PSSI section 2.1)</t>
  </si>
  <si>
    <t>A.5.2</t>
  </si>
  <si>
    <t>Information security roles and responsibilities</t>
  </si>
  <si>
    <t>Définit les instances de gouvernance de données (CoE, CDO, DPO, Data Stewards).</t>
  </si>
  <si>
    <t>Livrable 2 (Section 1.1 - Organisation)</t>
  </si>
  <si>
    <t>A.5.15</t>
  </si>
  <si>
    <t>Access control</t>
  </si>
  <si>
    <t>Politique d'accès logique stricte basée sur le moindre privilège.</t>
  </si>
  <si>
    <t>Livrable 2 (Section 4.1 - Authentification &amp; MFA)</t>
  </si>
  <si>
    <t>A.5.18</t>
  </si>
  <si>
    <t>Access rights</t>
  </si>
  <si>
    <t>Livrable 2 &amp; 3 (Processus d'accès Backstage)</t>
  </si>
  <si>
    <t>A.5.24</t>
  </si>
  <si>
    <t>Information security incident management planning</t>
  </si>
  <si>
    <t>Playbook de crise 'Protocol Alpha' pour violations de données à haute gravité.</t>
  </si>
  <si>
    <t>Livrable 3 (Section 5 - Protocole de crise)</t>
  </si>
  <si>
    <t>A.5.34</t>
  </si>
  <si>
    <t>Privacy and protection of PII</t>
  </si>
  <si>
    <t>Assure la conformité réglementaire RGPD et CCPA sur l'ensemble de Spotify.</t>
  </si>
  <si>
    <t>Livrable 2 &amp; 4 (Registres de traitement OneTrust)</t>
  </si>
  <si>
    <t>A.8.8</t>
  </si>
  <si>
    <t>Technological</t>
  </si>
  <si>
    <t>Management of technical vulnerabilities</t>
  </si>
  <si>
    <t>Scans de vulnérabilités hebdomadaires et pentests obligatoires pour PCI-DSS.</t>
  </si>
  <si>
    <t>Livrable 4 (Exigence PCI-DSS 10)</t>
  </si>
  <si>
    <t>A.8.10</t>
  </si>
  <si>
    <t>Information deletion</t>
  </si>
  <si>
    <t>En cours</t>
  </si>
  <si>
    <t>Automatisation des processus de droit à l'oubli et de purge sémantique dans BigQuery.</t>
  </si>
  <si>
    <t>Livrable 4 (Exigence GDPR 2)</t>
  </si>
  <si>
    <t>A.8.11</t>
  </si>
  <si>
    <t>Data masking</t>
  </si>
  <si>
    <t>Anonymisation et masquage dynamique (KMS / SHA-256) des flux marketing du projet pilote.</t>
  </si>
  <si>
    <t>Livrable 3 &amp; 4 (Pipeline Talend de masquage)</t>
  </si>
  <si>
    <t>A.8.12</t>
  </si>
  <si>
    <t>Data leakage prevention</t>
  </si>
  <si>
    <t>Livrable 3 (Détection SOC de fuite)</t>
  </si>
  <si>
    <t>A.8.16</t>
  </si>
  <si>
    <t>Monitoring activities</t>
  </si>
  <si>
    <t>Journalisation centralisée de tous les événements de sécurité réseau et système.</t>
  </si>
  <si>
    <t>Livrable 4 (Exigence PCI-DSS 12 - Splunk)</t>
  </si>
  <si>
    <t>A.8.20</t>
  </si>
  <si>
    <t>Network security</t>
  </si>
  <si>
    <t>Livrable 4 (Exigence PCI-DSS 8)</t>
  </si>
  <si>
    <t>A.8.21</t>
  </si>
  <si>
    <t>Network segregation</t>
  </si>
  <si>
    <t>Livrable 4 (Exigence PCI-DSS 8 - CDE)</t>
  </si>
  <si>
    <t>A.8.24</t>
  </si>
  <si>
    <t>Use of cryptography</t>
  </si>
  <si>
    <t>Livrable 4 (Exigence PCI-DSS 9)</t>
  </si>
  <si>
    <t>A.8.28</t>
  </si>
  <si>
    <t>Secure coding</t>
  </si>
  <si>
    <t>Livrable 3 (Section 2.2 - Ingestion Backstage)</t>
  </si>
  <si>
    <t>MATRICE D'AUDIT DE CONFORMITÉ &amp; PLAN DE RÉMÉDIATION</t>
  </si>
  <si>
    <t>Registre d'évaluation technique et réglementaire croisé avec l'ISO/IEC 27001:2022 Annexe A.</t>
  </si>
  <si>
    <t>ID d'Audit</t>
  </si>
  <si>
    <t>Réglementation</t>
  </si>
  <si>
    <t>Exigence de Conformité</t>
  </si>
  <si>
    <t>Mapping ISO 27001:2022</t>
  </si>
  <si>
    <t>Preuve / Évidence Technique (Spotify)</t>
  </si>
  <si>
    <t>Criticité</t>
  </si>
  <si>
    <t>Responsable (Owner)</t>
  </si>
  <si>
    <t>Échéance de Remédiation</t>
  </si>
  <si>
    <t>Plan d'Action / Notes Détaillées</t>
  </si>
  <si>
    <t>AUD-01</t>
  </si>
  <si>
    <t>GDPR</t>
  </si>
  <si>
    <t>Ensure data is processed lawfully, fairly, and transparently.</t>
  </si>
  <si>
    <t>En cours de remédiation</t>
  </si>
  <si>
    <t>A.5.34 (Privacy) / A.8.11 (Masking)</t>
  </si>
  <si>
    <t>Majeure</t>
  </si>
  <si>
    <t>DPO / CDO</t>
  </si>
  <si>
    <t>Fin Q3 2026</t>
  </si>
  <si>
    <t>AUD-02</t>
  </si>
  <si>
    <t>Users must be able to access, modify, or delete their data upon request.</t>
  </si>
  <si>
    <t>A.5.34 (Privacy) / A.8.10 (Deletion)</t>
  </si>
  <si>
    <t>DPO / Lead Data Engineer</t>
  </si>
  <si>
    <t>Sous 60 jours</t>
  </si>
  <si>
    <t>AUD-03</t>
  </si>
  <si>
    <t>Obtain explicit, informed consent before processing personal data.</t>
  </si>
  <si>
    <t>A.5.34 (Privacy)</t>
  </si>
  <si>
    <t>Critique</t>
  </si>
  <si>
    <t>DPO / Product Owner Mobile</t>
  </si>
  <si>
    <t>Sous 30 jours</t>
  </si>
  <si>
    <t>AUD-04</t>
  </si>
  <si>
    <t>Notify supervisory authority of data breaches within 72 hours.</t>
  </si>
  <si>
    <t>Conforme</t>
  </si>
  <si>
    <t>A.5.24 (Incident Management)</t>
  </si>
  <si>
    <t>Registre de crise cyber OneTrust, playbook validé par le SecOps.</t>
  </si>
  <si>
    <t>DPO / SecOps Team</t>
  </si>
  <si>
    <t>Déjà conforme</t>
  </si>
  <si>
    <t>AUD-05</t>
  </si>
  <si>
    <t>Appoint a Data Protection Officer for monitoring compliance.</t>
  </si>
  <si>
    <t>A.5.2 (Security Roles)</t>
  </si>
  <si>
    <t>Lettre d'enregistrement CNIL du DPO de Spotify, registre des analyses d'impact (AIPD).</t>
  </si>
  <si>
    <t>Comité Exécutif</t>
  </si>
  <si>
    <t>AUD-06</t>
  </si>
  <si>
    <t>CCPA</t>
  </si>
  <si>
    <t>Provide a clear opt-out mechanism for the sale of personal data.</t>
  </si>
  <si>
    <t>Bouton d'exclusion footer de l'application client, règles d'exclusion de flux.</t>
  </si>
  <si>
    <t>Lead Marketing / DPO</t>
  </si>
  <si>
    <t>AUD-07</t>
  </si>
  <si>
    <t>Allow users to request access to or deletion of their data.</t>
  </si>
  <si>
    <t>A.8.10 (Deletion)</t>
  </si>
  <si>
    <t>AUD-08</t>
  </si>
  <si>
    <t>Ensure no discrimination against users for exercising their CCPA rights.</t>
  </si>
  <si>
    <t>Fichier de tarification publique des abonnements, scripts d'abonnement.</t>
  </si>
  <si>
    <t>Product Owner Pricing</t>
  </si>
  <si>
    <t>AUD-09</t>
  </si>
  <si>
    <t>PCI-DSS</t>
  </si>
  <si>
    <t>Ensure a secure network infrastructure and firewall protection.</t>
  </si>
  <si>
    <t>A.8.20 (Network) / A.8.21 (Segregation)</t>
  </si>
  <si>
    <t>DSI / Lead Cloud Architect</t>
  </si>
  <si>
    <t>AUD-10</t>
  </si>
  <si>
    <t>Protect stored cardholder data using encryption and secure storage.</t>
  </si>
  <si>
    <t>A.8.24 (Cryptography)</t>
  </si>
  <si>
    <t>SecOps / Lead Cryptographe</t>
  </si>
  <si>
    <t>AUD-11</t>
  </si>
  <si>
    <t>Maintain systems for protection against malware and vulnerabilities.</t>
  </si>
  <si>
    <t>A.8.8 (Vulnerability Mgmt)</t>
  </si>
  <si>
    <t>SecOps Team</t>
  </si>
  <si>
    <t>AUD-12</t>
  </si>
  <si>
    <t>Limit access to cardholder data to authorized personnel only.</t>
  </si>
  <si>
    <t>A.5.15 (Access Control) / A.5.18 (Rights)</t>
  </si>
  <si>
    <t>AUD-13</t>
  </si>
  <si>
    <t>Implement systems to regularly test security measures and procedures.</t>
  </si>
  <si>
    <t>A.8.16 (Monitoring)</t>
  </si>
  <si>
    <t>Logs d'accès centralisés Splunk SIEM, alertes cyberSOC configurées.</t>
  </si>
  <si>
    <t>SecOps / SOC Team</t>
  </si>
  <si>
    <t>AUD-14</t>
  </si>
  <si>
    <t>Maintain an updated information security policy for all personnel.</t>
  </si>
  <si>
    <t>A.5.1 (Security Policies)</t>
  </si>
  <si>
    <t>PSSI signée en Comité Exécutif (Janvier 2026), attestations de formation des employés.</t>
  </si>
  <si>
    <t>CDO / DSI / SecOps</t>
  </si>
  <si>
    <t>Rédaction, validation annuelle et diffusion globale de la Politique de Sécurité des Informations (PSI) de Spotify à l'ensemble du personnel. Programme de formation continue à la cybersécurité et à la protection des données obligatoire pour tous les collaborateurs lors de leur intégration et réitéré annuellement, complété par des simulations périodiques de phishing pour évaluer la vigilance des équipes.</t>
  </si>
  <si>
    <t>Valeur dynamique</t>
  </si>
  <si>
    <t>Fin Q3</t>
  </si>
  <si>
    <t>Chiffrement fort de toutes les données bancaires stockées au repos à l'aide de l'algorithme AES-256. Les clés de chiffrement de production sont gérées viaCloud KMS avec rotation automatique mensuelle. Interdiction absolue de stocker le code de sécurité (CVV/CVC) après l'autorisation de transaction, en conformité totale avec l'exigence 3 de la norme PCI-DSS.</t>
  </si>
  <si>
    <t>Intégration de OneTrust sur toutes les applications client de Spotify (web, mobile, desktop). Collecte systématique et traçabilité des consentements (opt-in actif pour les cookies tiers, le profilage publicitaire et la personnalisation avancée). Les préférences de consentement sont synchronisées  avec BigQuery pour bloquer instantanément les pipelines d'analyse publicitaire des utilisateurs ayant exercé un opt-out.</t>
  </si>
  <si>
    <t>Déploiement du "Protocol Alpha" de gestion des violations (voir Livrable 3). Surveillance continue via Splunk (SIEM) pour détecter tout accès suspect aux données PII. En cas d'intrusion, isolement immédiat de l'environnement, qualification cyber de la gravité par le SOC, et notification officielle du DPO à la CNIL sous un délai maximum de 72 heures. Si un risque élevé est avéré pour la vie privée des abonnés, notification individuelle automatisée par email.</t>
  </si>
  <si>
    <t>Mise en place d'un lien explicite et accessible d'opt out  "Do not sell my personal information" sur le site web et l'application Spotify pour les utilisateurs résidant aux États-Unis. Ce bouton déclenche un signal d'exclusion automatique dans OneTrust, bloquant le partage des identifiants publicitaires avec les partenaires / régies publicitaires externes. Les bases BigQuery et les flux d'ingestion Talend appliquent un filtrage automatique basé sur cette préférence.</t>
  </si>
  <si>
    <t>Alignement technique des processus d'accès et d'effacement CCPA sur l'architecture de conformité RGPD. Validation d'identité obligatoire via une double authentification forte (MFA) de l'abonné avant tout traitement de demande de portabilité ou de suppression, garantissant le respect du délai légal de 45 jours du CCPA.</t>
  </si>
  <si>
    <t>Les règles de tarification des abonnements sont strictement indépendantes de l'exercice ou non des droits à la vie privée par les utilisateurs. Aucun bridage de qualité audio ou restriction de fonctionnalités n'est appliqué aux abonnés choisissant de désactiver la publicité ciblée ou le profilage CCPA.</t>
  </si>
  <si>
    <t xml:space="preserve">Cloisonnement  strict du réseau de traitement des paiements. Déploiement de firewall interdisant tout trafic entrant non sollicité. Chiffrement systématique fort de tous les flux réseaux  de traitement des paiement </t>
  </si>
  <si>
    <t>Limitation stricte des accès aux données de titulaires de cartes bancaires. Contrôle d'accès orchestré par le système IAM d'entreprise avec authentification MFA obligatoire pour accéder à l'environnement de paiement. Attribution d'un identifiant unique et personnel à chaque collaborateur pour assurer une traçabilité totale.</t>
  </si>
  <si>
    <t>Journalisation centralisée de tous les événements de sécurité réseau et d'accès aux données sensibles dans Splunk. Les logs de sécurité sont conservés de manière intègre pour une période minimale de 1 an. Réalisation de scans d'adresses IP publiques trimestriels  et audits d'intégrité de fichiers quotidiens.</t>
  </si>
  <si>
    <t>Implémentation d'un registre de traitement automatisé (OneTrust). Chaque traitement de données utilisateur est rattaché à sa base légale explicite (ex. intérêt légitime pour la détection de fraude, consentement pour le profilage publicitaire, exécution contractuelle pour le streaming). Intégration de contrôles automatiques dans les pipelines Talend d'ingestion avant tout traitement en production.</t>
  </si>
  <si>
    <t>Automatisation complète des demandes d'accès et d'effacement (droit à l'oubli). Pour l'effacement, un orchestrateur Talend propage la requête de suppression ou d'anonymisation irréversible sous SHA-256 dans l'ensemble des systèmes de stockage sous 30 jours.</t>
  </si>
  <si>
    <t>Registre d'activités OneTrust, logs Talend validés.</t>
  </si>
  <si>
    <t>Endpoints API  configurés, scripts SQL de purge BigQuery.</t>
  </si>
  <si>
    <t>Script OneTrust intégré sur l'application client, webhooks de consentement.</t>
  </si>
  <si>
    <t>DPO Groupe indépendant rapportant directement au Comité exécutif. Systématiquement intégré en amont de tout projet de R&amp;D ou d'IA via la réalisation d'analyses d'impact (AIPD/PIA)  pour tous les algorithmes de recommandation comportementaux.Supervise également les audits trimestriels de conformité et le registre des traitements.</t>
  </si>
  <si>
    <t>Portail client 'Privacy Spotify', double authentification.</t>
  </si>
  <si>
    <t>Rapport d'isolation réseau par l'auditeur externe.</t>
  </si>
  <si>
    <t>Configuration Cloud KMS, logs de rotation mensuelle</t>
  </si>
  <si>
    <t>Déploiement d'agents de protection contre les logiciels malveillants sur tous les systèmes serveurs et postes collaborateurs. Réalisation de scans de vulnérabilités hebdomadaires automatisés et de tests d'intrusion annuels par un auditeur certifié externe. Application d'une politique de correctifs de sécurité stricte, avec déploiement obligatoire des correctifs critiques sous 30 jours maximum après leur publication.</t>
  </si>
  <si>
    <t>Rapports hebdomadaires, rapports d'audits trimestriels</t>
  </si>
  <si>
    <t>Fichier de configuration IAM de production, logs d'accès MFA.</t>
  </si>
  <si>
    <t>Attribution des rôles et droits d'accès via IAM et fichier config owner.yaml.</t>
  </si>
  <si>
    <t>Surveillance Splunk de la cellule cyber SOC.</t>
  </si>
  <si>
    <t>Sécurisation de l'infrastructure réseau</t>
  </si>
  <si>
    <t>Cloisonnement et segmentation de l'environnement de paiement</t>
  </si>
  <si>
    <t>Chiffrement fort Cloud KMS.</t>
  </si>
  <si>
    <t>Contrôles statiques de sécurité intégrés dans Backstage.</t>
  </si>
  <si>
    <t>Conformément à la politique de sécurité des informations (Livrable 2) et à la feuille de route d'implémentation (Livrable 3), le périmètre du Système de Management de la Sécurité de l'Information (SMSI) de Spotify Technology S.A. comprend : l'ensemble des infrastructures Cloud de production, les bases de données analytiques centralisées (BigQuery), le portail d'ingénierie Backstage, ainsi que l'ensemble des pipelines d'ingestion sémantiques et de masquage de données de la division marketing (projet pilote, mois 1 à 6). Ce SMSI protège de manière intègre les données de transactions  et les données personnelles (PII) de nos abonnés face aux risques cyber et de conformité.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</si>
</sst>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font>
      <sz val="11"/>
      <color theme="1"/>
      <name val="Calibri"/>
      <family val="2"/>
      <scheme val="minor"/>
    </font>
    <font>
      <b/>
      <sz val="16"/>
      <color rgb="FF111827"/>
      <name val="Segoe UI"/>
    </font>
    <font>
      <b/>
      <sz val="12"/>
      <color rgb="FF1F2937"/>
      <name val="Segoe UI"/>
    </font>
    <font>
      <sz val="10"/>
      <name val="Segoe UI"/>
    </font>
    <font>
      <b/>
      <sz val="11"/>
      <color rgb="FFFFFFFF"/>
      <name val="Segoe UI"/>
    </font>
    <font>
      <i/>
      <sz val="9"/>
      <color rgb="FF4B5563"/>
      <name val="Segoe UI"/>
    </font>
    <font>
      <b/>
      <sz val="10"/>
      <name val="Segoe UI"/>
    </font>
    <font>
      <b/>
      <sz val="10"/>
      <color rgb="FF065F46"/>
      <name val="Segoe UI"/>
    </font>
    <font>
      <b/>
      <sz val="10"/>
      <color rgb="FF92400E"/>
      <name val="Segoe UI"/>
    </font>
    <font>
      <b/>
      <sz val="10"/>
      <color rgb="FFB45309"/>
      <name val="Segoe UI"/>
    </font>
    <font>
      <b/>
      <sz val="10"/>
      <color rgb="FF991B1B"/>
      <name val="Segoe UI"/>
    </font>
    <font>
      <sz val="10"/>
      <name val="Segoe UI"/>
      <family val="2"/>
    </font>
  </fonts>
  <fills count="9">
    <fill>
      <patternFill patternType="none"/>
    </fill>
    <fill>
      <patternFill patternType="gray125"/>
    </fill>
    <fill>
      <patternFill patternType="solid">
        <fgColor rgb="FF1DB954"/>
        <bgColor rgb="FF1DB954"/>
      </patternFill>
    </fill>
    <fill>
      <patternFill patternType="solid">
        <fgColor rgb="FF1F2937"/>
        <bgColor rgb="FF1F2937"/>
      </patternFill>
    </fill>
    <fill>
      <patternFill patternType="solid">
        <fgColor rgb="FFFFFFFF"/>
        <bgColor rgb="FFFFFFFF"/>
      </patternFill>
    </fill>
    <fill>
      <patternFill patternType="solid">
        <fgColor rgb="FFD1FAE5"/>
        <bgColor rgb="FFD1FAE5"/>
      </patternFill>
    </fill>
    <fill>
      <patternFill patternType="solid">
        <fgColor rgb="FFF9FAFB"/>
        <bgColor rgb="FFF9FAFB"/>
      </patternFill>
    </fill>
    <fill>
      <patternFill patternType="solid">
        <fgColor rgb="FFFEF3C7"/>
        <bgColor rgb="FFFEF3C7"/>
      </patternFill>
    </fill>
    <fill>
      <patternFill patternType="solid">
        <fgColor rgb="FFFEE2E2"/>
        <bgColor rgb="FFFEE2E2"/>
      </patternFill>
    </fill>
  </fills>
  <borders count="2">
    <border>
      <left/>
      <right/>
      <top/>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31">
    <xf numFmtId="0" fontId="0" fillId="0" borderId="0" xfId="0"/>
    <xf numFmtId="0" fontId="1" fillId="0" borderId="0" xfId="0" applyFont="1"/>
    <xf numFmtId="0" fontId="0" fillId="2" borderId="0" xfId="0" applyFill="1"/>
    <xf numFmtId="0" fontId="2" fillId="0" borderId="0" xfId="0" applyFont="1"/>
    <xf numFmtId="0" fontId="3" fillId="0" borderId="1" xfId="0" applyFont="1" applyBorder="1" applyAlignment="1">
      <alignment horizontal="left" vertical="top" wrapText="1"/>
    </xf>
    <xf numFmtId="0" fontId="4" fillId="3" borderId="1" xfId="0" applyFont="1" applyFill="1" applyBorder="1" applyAlignment="1">
      <alignment horizontal="center" vertical="top"/>
    </xf>
    <xf numFmtId="1" fontId="3" fillId="0" borderId="1" xfId="0" applyNumberFormat="1" applyFont="1" applyBorder="1" applyAlignment="1">
      <alignment horizontal="center" vertical="top"/>
    </xf>
    <xf numFmtId="0" fontId="5" fillId="0" borderId="1" xfId="0" applyFont="1" applyBorder="1" applyAlignment="1">
      <alignment horizontal="center" vertical="top"/>
    </xf>
    <xf numFmtId="0" fontId="6" fillId="0" borderId="1" xfId="0" applyFont="1" applyBorder="1" applyAlignment="1">
      <alignment horizontal="center" vertical="top"/>
    </xf>
    <xf numFmtId="0" fontId="6" fillId="0" borderId="1" xfId="0" applyFont="1" applyBorder="1" applyAlignment="1">
      <alignment horizontal="left" vertical="top" wrapText="1"/>
    </xf>
    <xf numFmtId="164" fontId="6" fillId="0" borderId="1" xfId="0" applyNumberFormat="1" applyFont="1" applyBorder="1" applyAlignment="1">
      <alignment horizontal="center" vertical="top"/>
    </xf>
    <xf numFmtId="0" fontId="6" fillId="0" borderId="0" xfId="0" applyFont="1"/>
    <xf numFmtId="0" fontId="5" fillId="0" borderId="0" xfId="0" applyFont="1"/>
    <xf numFmtId="0" fontId="3" fillId="4" borderId="1" xfId="0" applyFont="1" applyFill="1" applyBorder="1" applyAlignment="1">
      <alignment horizontal="center" vertical="top"/>
    </xf>
    <xf numFmtId="0" fontId="3" fillId="4" borderId="1" xfId="0" applyFont="1" applyFill="1" applyBorder="1" applyAlignment="1">
      <alignment horizontal="left" vertical="top" wrapText="1"/>
    </xf>
    <xf numFmtId="0" fontId="7" fillId="5" borderId="1" xfId="0" applyFont="1" applyFill="1" applyBorder="1" applyAlignment="1">
      <alignment horizontal="center" vertical="top"/>
    </xf>
    <xf numFmtId="0" fontId="3" fillId="6" borderId="1" xfId="0" applyFont="1" applyFill="1" applyBorder="1" applyAlignment="1">
      <alignment horizontal="center" vertical="top"/>
    </xf>
    <xf numFmtId="0" fontId="3" fillId="6" borderId="1" xfId="0" applyFont="1" applyFill="1" applyBorder="1" applyAlignment="1">
      <alignment horizontal="left" vertical="top" wrapText="1"/>
    </xf>
    <xf numFmtId="0" fontId="8" fillId="7" borderId="1" xfId="0" applyFont="1" applyFill="1" applyBorder="1" applyAlignment="1">
      <alignment horizontal="center" vertical="top"/>
    </xf>
    <xf numFmtId="0" fontId="9" fillId="7" borderId="1" xfId="0" applyFont="1" applyFill="1" applyBorder="1" applyAlignment="1">
      <alignment horizontal="center" vertical="top"/>
    </xf>
    <xf numFmtId="0" fontId="10" fillId="8" borderId="1" xfId="0" applyFont="1" applyFill="1" applyBorder="1" applyAlignment="1">
      <alignment horizontal="center" vertical="top"/>
    </xf>
    <xf numFmtId="0" fontId="0" fillId="0" borderId="1" xfId="0" applyBorder="1"/>
    <xf numFmtId="0" fontId="5" fillId="0" borderId="0" xfId="0" applyFont="1" applyAlignment="1">
      <alignment horizontal="left" vertical="top" wrapText="1"/>
    </xf>
    <xf numFmtId="0" fontId="0" fillId="0" borderId="0" xfId="0"/>
    <xf numFmtId="0" fontId="4"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6" borderId="1" xfId="0" applyFont="1" applyFill="1" applyBorder="1" applyAlignment="1">
      <alignment horizontal="center" vertical="top" wrapText="1"/>
    </xf>
    <xf numFmtId="0" fontId="11" fillId="4" borderId="1" xfId="0" applyFont="1" applyFill="1" applyBorder="1" applyAlignment="1">
      <alignment horizontal="center" vertical="top"/>
    </xf>
    <xf numFmtId="0" fontId="11" fillId="6"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11" fillId="0" borderId="1" xfId="0" applyFont="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9"/>
  <sheetViews>
    <sheetView workbookViewId="0">
      <selection activeCell="E24" sqref="E24"/>
    </sheetView>
  </sheetViews>
  <sheetFormatPr baseColWidth="10" defaultColWidth="9.140625" defaultRowHeight="15"/>
  <cols>
    <col min="1" max="1" width="3" customWidth="1"/>
    <col min="2" max="2" width="45" customWidth="1"/>
    <col min="3" max="3" width="28" customWidth="1"/>
    <col min="4" max="4" width="18" customWidth="1"/>
    <col min="5" max="7" width="15" customWidth="1"/>
  </cols>
  <sheetData>
    <row r="2" spans="2:7" ht="24.95" customHeight="1">
      <c r="B2" s="1" t="s">
        <v>0</v>
      </c>
    </row>
    <row r="3" spans="2:7" ht="3.95" customHeight="1">
      <c r="B3" s="2"/>
      <c r="C3" s="2"/>
      <c r="D3" s="2"/>
      <c r="E3" s="2"/>
      <c r="F3" s="2"/>
      <c r="G3" s="2"/>
    </row>
    <row r="5" spans="2:7" ht="20.100000000000001" customHeight="1">
      <c r="B5" s="3" t="s">
        <v>1</v>
      </c>
    </row>
    <row r="6" spans="2:7" ht="20.100000000000001" customHeight="1">
      <c r="B6" s="30" t="s">
        <v>197</v>
      </c>
      <c r="C6" s="21"/>
      <c r="D6" s="21"/>
      <c r="E6" s="21"/>
      <c r="F6" s="21"/>
      <c r="G6" s="21"/>
    </row>
    <row r="7" spans="2:7" ht="20.100000000000001" customHeight="1">
      <c r="B7" s="21"/>
      <c r="C7" s="21"/>
      <c r="D7" s="21"/>
      <c r="E7" s="21"/>
      <c r="F7" s="21"/>
      <c r="G7" s="21"/>
    </row>
    <row r="8" spans="2:7" ht="20.100000000000001" customHeight="1">
      <c r="B8" s="21"/>
      <c r="C8" s="21"/>
      <c r="D8" s="21"/>
      <c r="E8" s="21"/>
      <c r="F8" s="21"/>
      <c r="G8" s="21"/>
    </row>
    <row r="10" spans="2:7" ht="20.100000000000001" customHeight="1">
      <c r="B10" s="3" t="s">
        <v>2</v>
      </c>
    </row>
    <row r="11" spans="2:7" ht="24" customHeight="1">
      <c r="B11" s="5" t="s">
        <v>3</v>
      </c>
      <c r="C11" s="5" t="s">
        <v>168</v>
      </c>
      <c r="D11" s="5" t="s">
        <v>4</v>
      </c>
      <c r="E11" s="5" t="s">
        <v>5</v>
      </c>
    </row>
    <row r="12" spans="2:7" ht="20.100000000000001" customHeight="1">
      <c r="B12" s="4" t="s">
        <v>6</v>
      </c>
      <c r="C12" s="6">
        <f>COUNTA('Matrice d''Audit'!D5:D18)</f>
        <v>13</v>
      </c>
      <c r="D12" s="7" t="s">
        <v>7</v>
      </c>
      <c r="E12" s="8" t="s">
        <v>8</v>
      </c>
    </row>
    <row r="13" spans="2:7" ht="20.100000000000001" customHeight="1">
      <c r="B13" s="4" t="s">
        <v>9</v>
      </c>
      <c r="C13" s="6">
        <f>COUNTIF('Matrice d''Audit'!D5:D18, "Conforme")</f>
        <v>0</v>
      </c>
      <c r="D13" s="7" t="s">
        <v>10</v>
      </c>
      <c r="E13" s="8" t="s">
        <v>8</v>
      </c>
    </row>
    <row r="14" spans="2:7" ht="20.100000000000001" customHeight="1">
      <c r="B14" s="4" t="s">
        <v>11</v>
      </c>
      <c r="C14" s="6">
        <f>COUNTIF('Matrice d''Audit'!D5:D18, "Non conforme")</f>
        <v>0</v>
      </c>
      <c r="D14" s="7" t="s">
        <v>10</v>
      </c>
      <c r="E14" s="8" t="s">
        <v>12</v>
      </c>
    </row>
    <row r="15" spans="2:7" ht="20.100000000000001" customHeight="1">
      <c r="B15" s="4" t="s">
        <v>13</v>
      </c>
      <c r="C15" s="6">
        <f>COUNTIF('Matrice d''Audit'!D5:D18, "En cours de remédiation")</f>
        <v>0</v>
      </c>
      <c r="D15" s="7" t="s">
        <v>10</v>
      </c>
      <c r="E15" s="8" t="s">
        <v>12</v>
      </c>
    </row>
    <row r="16" spans="2:7" ht="20.100000000000001" customHeight="1">
      <c r="B16" s="9" t="s">
        <v>14</v>
      </c>
      <c r="C16" s="10">
        <f>COUNTIF('Matrice d''Audit'!D5:D18, "Conforme")/COUNTA('Matrice d''Audit'!D5:D18)</f>
        <v>0</v>
      </c>
      <c r="D16" s="7" t="s">
        <v>15</v>
      </c>
      <c r="E16" s="8" t="s">
        <v>16</v>
      </c>
    </row>
    <row r="18" spans="2:7" ht="20.100000000000001" customHeight="1">
      <c r="B18" s="11" t="s">
        <v>17</v>
      </c>
      <c r="C18" s="22" t="s">
        <v>18</v>
      </c>
      <c r="D18" s="23"/>
      <c r="E18" s="23"/>
      <c r="F18" s="23"/>
      <c r="G18" s="23"/>
    </row>
    <row r="19" spans="2:7" ht="20.100000000000001" customHeight="1">
      <c r="C19" s="23"/>
      <c r="D19" s="23"/>
      <c r="E19" s="23"/>
      <c r="F19" s="23"/>
      <c r="G19" s="23"/>
    </row>
  </sheetData>
  <mergeCells count="2">
    <mergeCell ref="B6:G8"/>
    <mergeCell ref="C18:G1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H21"/>
  <sheetViews>
    <sheetView tabSelected="1" topLeftCell="A3" workbookViewId="0">
      <selection activeCell="E22" sqref="E22"/>
    </sheetView>
  </sheetViews>
  <sheetFormatPr baseColWidth="10" defaultColWidth="9.140625" defaultRowHeight="15"/>
  <cols>
    <col min="1" max="1" width="3" customWidth="1"/>
    <col min="2" max="3" width="18" customWidth="1"/>
    <col min="4" max="4" width="45.7109375" customWidth="1"/>
    <col min="5" max="5" width="14" customWidth="1"/>
    <col min="6" max="6" width="16" customWidth="1"/>
    <col min="7" max="7" width="45" customWidth="1"/>
    <col min="8" max="8" width="32" customWidth="1"/>
  </cols>
  <sheetData>
    <row r="2" spans="2:8" ht="24.95" customHeight="1">
      <c r="B2" s="1" t="s">
        <v>19</v>
      </c>
    </row>
    <row r="3" spans="2:8" ht="3.95" customHeight="1">
      <c r="B3" s="2"/>
      <c r="C3" s="2"/>
      <c r="D3" s="2"/>
      <c r="E3" s="2"/>
      <c r="F3" s="2"/>
      <c r="G3" s="2"/>
      <c r="H3" s="2"/>
    </row>
    <row r="5" spans="2:8" ht="20.100000000000001" customHeight="1">
      <c r="B5" s="12" t="s">
        <v>20</v>
      </c>
    </row>
    <row r="6" spans="2:8" ht="24" customHeight="1">
      <c r="B6" s="5" t="s">
        <v>21</v>
      </c>
      <c r="C6" s="5" t="s">
        <v>22</v>
      </c>
      <c r="D6" s="5" t="s">
        <v>23</v>
      </c>
      <c r="E6" s="5" t="s">
        <v>24</v>
      </c>
      <c r="F6" s="5" t="s">
        <v>25</v>
      </c>
      <c r="G6" s="5" t="s">
        <v>26</v>
      </c>
      <c r="H6" s="5" t="s">
        <v>27</v>
      </c>
    </row>
    <row r="7" spans="2:8" ht="30" customHeight="1">
      <c r="B7" s="13" t="s">
        <v>28</v>
      </c>
      <c r="C7" s="14" t="s">
        <v>29</v>
      </c>
      <c r="D7" s="14" t="s">
        <v>30</v>
      </c>
      <c r="E7" s="15" t="s">
        <v>31</v>
      </c>
      <c r="F7" s="15" t="s">
        <v>32</v>
      </c>
      <c r="G7" s="14" t="s">
        <v>33</v>
      </c>
      <c r="H7" s="14" t="s">
        <v>34</v>
      </c>
    </row>
    <row r="8" spans="2:8" ht="30" customHeight="1">
      <c r="B8" s="16" t="s">
        <v>35</v>
      </c>
      <c r="C8" s="17" t="s">
        <v>29</v>
      </c>
      <c r="D8" s="17" t="s">
        <v>36</v>
      </c>
      <c r="E8" s="15" t="s">
        <v>31</v>
      </c>
      <c r="F8" s="15" t="s">
        <v>32</v>
      </c>
      <c r="G8" s="17" t="s">
        <v>37</v>
      </c>
      <c r="H8" s="17" t="s">
        <v>38</v>
      </c>
    </row>
    <row r="9" spans="2:8" ht="30" customHeight="1">
      <c r="B9" s="13" t="s">
        <v>39</v>
      </c>
      <c r="C9" s="14" t="s">
        <v>29</v>
      </c>
      <c r="D9" s="14" t="s">
        <v>40</v>
      </c>
      <c r="E9" s="15" t="s">
        <v>31</v>
      </c>
      <c r="F9" s="15" t="s">
        <v>32</v>
      </c>
      <c r="G9" s="14" t="s">
        <v>41</v>
      </c>
      <c r="H9" s="14" t="s">
        <v>42</v>
      </c>
    </row>
    <row r="10" spans="2:8" ht="30" customHeight="1">
      <c r="B10" s="16" t="s">
        <v>43</v>
      </c>
      <c r="C10" s="17" t="s">
        <v>29</v>
      </c>
      <c r="D10" s="17" t="s">
        <v>44</v>
      </c>
      <c r="E10" s="15" t="s">
        <v>31</v>
      </c>
      <c r="F10" s="15" t="s">
        <v>32</v>
      </c>
      <c r="G10" s="28" t="s">
        <v>191</v>
      </c>
      <c r="H10" s="17" t="s">
        <v>45</v>
      </c>
    </row>
    <row r="11" spans="2:8" ht="30" customHeight="1">
      <c r="B11" s="13" t="s">
        <v>46</v>
      </c>
      <c r="C11" s="14" t="s">
        <v>29</v>
      </c>
      <c r="D11" s="14" t="s">
        <v>47</v>
      </c>
      <c r="E11" s="15" t="s">
        <v>31</v>
      </c>
      <c r="F11" s="15" t="s">
        <v>32</v>
      </c>
      <c r="G11" s="14" t="s">
        <v>48</v>
      </c>
      <c r="H11" s="14" t="s">
        <v>49</v>
      </c>
    </row>
    <row r="12" spans="2:8" ht="30" customHeight="1">
      <c r="B12" s="16" t="s">
        <v>50</v>
      </c>
      <c r="C12" s="17" t="s">
        <v>29</v>
      </c>
      <c r="D12" s="17" t="s">
        <v>51</v>
      </c>
      <c r="E12" s="15" t="s">
        <v>31</v>
      </c>
      <c r="F12" s="15" t="s">
        <v>32</v>
      </c>
      <c r="G12" s="17" t="s">
        <v>52</v>
      </c>
      <c r="H12" s="17" t="s">
        <v>53</v>
      </c>
    </row>
    <row r="13" spans="2:8" ht="30" customHeight="1">
      <c r="B13" s="13" t="s">
        <v>54</v>
      </c>
      <c r="C13" s="14" t="s">
        <v>55</v>
      </c>
      <c r="D13" s="14" t="s">
        <v>56</v>
      </c>
      <c r="E13" s="15" t="s">
        <v>31</v>
      </c>
      <c r="F13" s="15" t="s">
        <v>32</v>
      </c>
      <c r="G13" s="14" t="s">
        <v>57</v>
      </c>
      <c r="H13" s="14" t="s">
        <v>58</v>
      </c>
    </row>
    <row r="14" spans="2:8" ht="30" customHeight="1">
      <c r="B14" s="16" t="s">
        <v>59</v>
      </c>
      <c r="C14" s="17" t="s">
        <v>55</v>
      </c>
      <c r="D14" s="17" t="s">
        <v>60</v>
      </c>
      <c r="E14" s="15" t="s">
        <v>31</v>
      </c>
      <c r="F14" s="18" t="s">
        <v>61</v>
      </c>
      <c r="G14" s="17" t="s">
        <v>62</v>
      </c>
      <c r="H14" s="17" t="s">
        <v>63</v>
      </c>
    </row>
    <row r="15" spans="2:8" ht="30" customHeight="1">
      <c r="B15" s="13" t="s">
        <v>64</v>
      </c>
      <c r="C15" s="14" t="s">
        <v>55</v>
      </c>
      <c r="D15" s="14" t="s">
        <v>65</v>
      </c>
      <c r="E15" s="15" t="s">
        <v>31</v>
      </c>
      <c r="F15" s="18" t="s">
        <v>61</v>
      </c>
      <c r="G15" s="14" t="s">
        <v>66</v>
      </c>
      <c r="H15" s="14" t="s">
        <v>67</v>
      </c>
    </row>
    <row r="16" spans="2:8" ht="30" customHeight="1">
      <c r="B16" s="16" t="s">
        <v>68</v>
      </c>
      <c r="C16" s="17" t="s">
        <v>55</v>
      </c>
      <c r="D16" s="17" t="s">
        <v>69</v>
      </c>
      <c r="E16" s="15" t="s">
        <v>31</v>
      </c>
      <c r="F16" s="15" t="s">
        <v>32</v>
      </c>
      <c r="G16" s="28" t="s">
        <v>192</v>
      </c>
      <c r="H16" s="17" t="s">
        <v>70</v>
      </c>
    </row>
    <row r="17" spans="2:8" ht="30" customHeight="1">
      <c r="B17" s="13" t="s">
        <v>71</v>
      </c>
      <c r="C17" s="14" t="s">
        <v>55</v>
      </c>
      <c r="D17" s="14" t="s">
        <v>72</v>
      </c>
      <c r="E17" s="15" t="s">
        <v>31</v>
      </c>
      <c r="F17" s="15" t="s">
        <v>32</v>
      </c>
      <c r="G17" s="14" t="s">
        <v>73</v>
      </c>
      <c r="H17" s="14" t="s">
        <v>74</v>
      </c>
    </row>
    <row r="18" spans="2:8" ht="30" customHeight="1">
      <c r="B18" s="16" t="s">
        <v>75</v>
      </c>
      <c r="C18" s="17" t="s">
        <v>55</v>
      </c>
      <c r="D18" s="17" t="s">
        <v>76</v>
      </c>
      <c r="E18" s="15" t="s">
        <v>31</v>
      </c>
      <c r="F18" s="15" t="s">
        <v>32</v>
      </c>
      <c r="G18" s="28" t="s">
        <v>193</v>
      </c>
      <c r="H18" s="17" t="s">
        <v>77</v>
      </c>
    </row>
    <row r="19" spans="2:8" ht="30" customHeight="1">
      <c r="B19" s="13" t="s">
        <v>78</v>
      </c>
      <c r="C19" s="14" t="s">
        <v>55</v>
      </c>
      <c r="D19" s="14" t="s">
        <v>79</v>
      </c>
      <c r="E19" s="15" t="s">
        <v>31</v>
      </c>
      <c r="F19" s="15" t="s">
        <v>32</v>
      </c>
      <c r="G19" s="29" t="s">
        <v>194</v>
      </c>
      <c r="H19" s="14" t="s">
        <v>80</v>
      </c>
    </row>
    <row r="20" spans="2:8" ht="30" customHeight="1">
      <c r="B20" s="16" t="s">
        <v>81</v>
      </c>
      <c r="C20" s="17" t="s">
        <v>55</v>
      </c>
      <c r="D20" s="17" t="s">
        <v>82</v>
      </c>
      <c r="E20" s="15" t="s">
        <v>31</v>
      </c>
      <c r="F20" s="15" t="s">
        <v>32</v>
      </c>
      <c r="G20" s="28" t="s">
        <v>195</v>
      </c>
      <c r="H20" s="17" t="s">
        <v>83</v>
      </c>
    </row>
    <row r="21" spans="2:8" ht="30" customHeight="1">
      <c r="B21" s="13" t="s">
        <v>84</v>
      </c>
      <c r="C21" s="14" t="s">
        <v>55</v>
      </c>
      <c r="D21" s="14" t="s">
        <v>85</v>
      </c>
      <c r="E21" s="15" t="s">
        <v>31</v>
      </c>
      <c r="F21" s="15" t="s">
        <v>32</v>
      </c>
      <c r="G21" s="29" t="s">
        <v>196</v>
      </c>
      <c r="H21" s="14" t="s">
        <v>86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K20"/>
  <sheetViews>
    <sheetView topLeftCell="A19" workbookViewId="0">
      <selection activeCell="F20" sqref="F20"/>
    </sheetView>
  </sheetViews>
  <sheetFormatPr baseColWidth="10" defaultColWidth="9.140625" defaultRowHeight="15"/>
  <cols>
    <col min="1" max="1" width="3" customWidth="1"/>
    <col min="2" max="3" width="14" customWidth="1"/>
    <col min="4" max="4" width="35" customWidth="1"/>
    <col min="5" max="6" width="24" customWidth="1"/>
    <col min="7" max="7" width="38" customWidth="1"/>
    <col min="8" max="8" width="14" customWidth="1"/>
    <col min="9" max="9" width="22" customWidth="1"/>
    <col min="10" max="10" width="18" customWidth="1"/>
    <col min="11" max="11" width="50" customWidth="1"/>
  </cols>
  <sheetData>
    <row r="2" spans="2:11" ht="24.95" customHeight="1">
      <c r="B2" s="1" t="s">
        <v>87</v>
      </c>
    </row>
    <row r="3" spans="2:11" ht="3.95" customHeight="1">
      <c r="B3" s="2"/>
      <c r="C3" s="2"/>
      <c r="D3" s="2"/>
      <c r="E3" s="2"/>
      <c r="F3" s="2"/>
      <c r="G3" s="2"/>
      <c r="H3" s="2"/>
      <c r="I3" s="2"/>
      <c r="J3" s="2"/>
      <c r="K3" s="2"/>
    </row>
    <row r="5" spans="2:11" ht="20.100000000000001" customHeight="1">
      <c r="B5" s="12" t="s">
        <v>88</v>
      </c>
    </row>
    <row r="6" spans="2:11" ht="46.5" customHeight="1">
      <c r="B6" s="5" t="s">
        <v>89</v>
      </c>
      <c r="C6" s="5" t="s">
        <v>90</v>
      </c>
      <c r="D6" s="5" t="s">
        <v>91</v>
      </c>
      <c r="E6" s="5" t="s">
        <v>25</v>
      </c>
      <c r="F6" s="24" t="s">
        <v>92</v>
      </c>
      <c r="G6" s="5" t="s">
        <v>93</v>
      </c>
      <c r="H6" s="5" t="s">
        <v>94</v>
      </c>
      <c r="I6" s="5" t="s">
        <v>95</v>
      </c>
      <c r="J6" s="5" t="s">
        <v>96</v>
      </c>
      <c r="K6" s="5" t="s">
        <v>97</v>
      </c>
    </row>
    <row r="7" spans="2:11" ht="200.1" customHeight="1">
      <c r="B7" s="13" t="s">
        <v>98</v>
      </c>
      <c r="C7" s="13" t="s">
        <v>99</v>
      </c>
      <c r="D7" s="14" t="s">
        <v>100</v>
      </c>
      <c r="E7" s="18" t="s">
        <v>101</v>
      </c>
      <c r="F7" s="25" t="s">
        <v>102</v>
      </c>
      <c r="G7" s="29" t="s">
        <v>181</v>
      </c>
      <c r="H7" s="19" t="s">
        <v>103</v>
      </c>
      <c r="I7" s="14" t="s">
        <v>104</v>
      </c>
      <c r="J7" s="27" t="s">
        <v>169</v>
      </c>
      <c r="K7" s="29" t="s">
        <v>179</v>
      </c>
    </row>
    <row r="8" spans="2:11" ht="200.1" customHeight="1">
      <c r="B8" s="16" t="s">
        <v>106</v>
      </c>
      <c r="C8" s="16" t="s">
        <v>99</v>
      </c>
      <c r="D8" s="17" t="s">
        <v>107</v>
      </c>
      <c r="E8" s="18" t="s">
        <v>101</v>
      </c>
      <c r="F8" s="26" t="s">
        <v>108</v>
      </c>
      <c r="G8" s="28" t="s">
        <v>182</v>
      </c>
      <c r="H8" s="19" t="s">
        <v>103</v>
      </c>
      <c r="I8" s="17" t="s">
        <v>109</v>
      </c>
      <c r="J8" s="16" t="s">
        <v>110</v>
      </c>
      <c r="K8" s="28" t="s">
        <v>180</v>
      </c>
    </row>
    <row r="9" spans="2:11" ht="200.1" customHeight="1">
      <c r="B9" s="13" t="s">
        <v>111</v>
      </c>
      <c r="C9" s="13" t="s">
        <v>99</v>
      </c>
      <c r="D9" s="14" t="s">
        <v>112</v>
      </c>
      <c r="E9" s="18" t="s">
        <v>101</v>
      </c>
      <c r="F9" s="25" t="s">
        <v>113</v>
      </c>
      <c r="G9" s="29" t="s">
        <v>183</v>
      </c>
      <c r="H9" s="20" t="s">
        <v>114</v>
      </c>
      <c r="I9" s="14" t="s">
        <v>115</v>
      </c>
      <c r="J9" s="13" t="s">
        <v>116</v>
      </c>
      <c r="K9" s="29" t="s">
        <v>171</v>
      </c>
    </row>
    <row r="10" spans="2:11" ht="200.1" customHeight="1">
      <c r="B10" s="16" t="s">
        <v>117</v>
      </c>
      <c r="C10" s="16" t="s">
        <v>99</v>
      </c>
      <c r="D10" s="17" t="s">
        <v>118</v>
      </c>
      <c r="E10" s="15" t="s">
        <v>119</v>
      </c>
      <c r="F10" s="26" t="s">
        <v>120</v>
      </c>
      <c r="G10" s="17" t="s">
        <v>121</v>
      </c>
      <c r="H10" s="20" t="s">
        <v>114</v>
      </c>
      <c r="I10" s="17" t="s">
        <v>122</v>
      </c>
      <c r="J10" s="16" t="s">
        <v>123</v>
      </c>
      <c r="K10" s="28" t="s">
        <v>172</v>
      </c>
    </row>
    <row r="11" spans="2:11" ht="200.1" customHeight="1">
      <c r="B11" s="13" t="s">
        <v>124</v>
      </c>
      <c r="C11" s="13" t="s">
        <v>99</v>
      </c>
      <c r="D11" s="14" t="s">
        <v>125</v>
      </c>
      <c r="E11" s="15" t="s">
        <v>119</v>
      </c>
      <c r="F11" s="25" t="s">
        <v>126</v>
      </c>
      <c r="G11" s="14" t="s">
        <v>127</v>
      </c>
      <c r="H11" s="19" t="s">
        <v>103</v>
      </c>
      <c r="I11" s="14" t="s">
        <v>128</v>
      </c>
      <c r="J11" s="13" t="s">
        <v>123</v>
      </c>
      <c r="K11" s="29" t="s">
        <v>184</v>
      </c>
    </row>
    <row r="12" spans="2:11" ht="200.1" customHeight="1">
      <c r="B12" s="16" t="s">
        <v>129</v>
      </c>
      <c r="C12" s="16" t="s">
        <v>130</v>
      </c>
      <c r="D12" s="17" t="s">
        <v>131</v>
      </c>
      <c r="E12" s="18" t="s">
        <v>101</v>
      </c>
      <c r="F12" s="26" t="s">
        <v>113</v>
      </c>
      <c r="G12" s="17" t="s">
        <v>132</v>
      </c>
      <c r="H12" s="19" t="s">
        <v>103</v>
      </c>
      <c r="I12" s="17" t="s">
        <v>133</v>
      </c>
      <c r="J12" s="16" t="s">
        <v>105</v>
      </c>
      <c r="K12" s="28" t="s">
        <v>173</v>
      </c>
    </row>
    <row r="13" spans="2:11" ht="200.1" customHeight="1">
      <c r="B13" s="13" t="s">
        <v>134</v>
      </c>
      <c r="C13" s="13" t="s">
        <v>130</v>
      </c>
      <c r="D13" s="14" t="s">
        <v>135</v>
      </c>
      <c r="E13" s="18" t="s">
        <v>101</v>
      </c>
      <c r="F13" s="25" t="s">
        <v>136</v>
      </c>
      <c r="G13" s="29" t="s">
        <v>185</v>
      </c>
      <c r="H13" s="19" t="s">
        <v>103</v>
      </c>
      <c r="I13" s="14" t="s">
        <v>109</v>
      </c>
      <c r="J13" s="13" t="s">
        <v>110</v>
      </c>
      <c r="K13" s="29" t="s">
        <v>174</v>
      </c>
    </row>
    <row r="14" spans="2:11" ht="200.1" customHeight="1">
      <c r="B14" s="16" t="s">
        <v>137</v>
      </c>
      <c r="C14" s="16" t="s">
        <v>130</v>
      </c>
      <c r="D14" s="17" t="s">
        <v>138</v>
      </c>
      <c r="E14" s="15" t="s">
        <v>119</v>
      </c>
      <c r="F14" s="26" t="s">
        <v>113</v>
      </c>
      <c r="G14" s="17" t="s">
        <v>139</v>
      </c>
      <c r="H14" s="19" t="s">
        <v>103</v>
      </c>
      <c r="I14" s="17" t="s">
        <v>140</v>
      </c>
      <c r="J14" s="16" t="s">
        <v>123</v>
      </c>
      <c r="K14" s="28" t="s">
        <v>175</v>
      </c>
    </row>
    <row r="15" spans="2:11" ht="200.1" customHeight="1">
      <c r="B15" s="13" t="s">
        <v>141</v>
      </c>
      <c r="C15" s="13" t="s">
        <v>142</v>
      </c>
      <c r="D15" s="14" t="s">
        <v>143</v>
      </c>
      <c r="E15" s="15" t="s">
        <v>119</v>
      </c>
      <c r="F15" s="25" t="s">
        <v>144</v>
      </c>
      <c r="G15" s="29" t="s">
        <v>186</v>
      </c>
      <c r="H15" s="20" t="s">
        <v>114</v>
      </c>
      <c r="I15" s="14" t="s">
        <v>145</v>
      </c>
      <c r="J15" s="13" t="s">
        <v>123</v>
      </c>
      <c r="K15" s="29" t="s">
        <v>176</v>
      </c>
    </row>
    <row r="16" spans="2:11" ht="200.1" customHeight="1">
      <c r="B16" s="16" t="s">
        <v>146</v>
      </c>
      <c r="C16" s="16" t="s">
        <v>142</v>
      </c>
      <c r="D16" s="17" t="s">
        <v>147</v>
      </c>
      <c r="E16" s="15" t="s">
        <v>119</v>
      </c>
      <c r="F16" s="26" t="s">
        <v>148</v>
      </c>
      <c r="G16" s="28" t="s">
        <v>187</v>
      </c>
      <c r="H16" s="20" t="s">
        <v>114</v>
      </c>
      <c r="I16" s="17" t="s">
        <v>149</v>
      </c>
      <c r="J16" s="16" t="s">
        <v>123</v>
      </c>
      <c r="K16" s="28" t="s">
        <v>170</v>
      </c>
    </row>
    <row r="17" spans="2:11" ht="200.1" customHeight="1">
      <c r="B17" s="13" t="s">
        <v>150</v>
      </c>
      <c r="C17" s="13" t="s">
        <v>142</v>
      </c>
      <c r="D17" s="14" t="s">
        <v>151</v>
      </c>
      <c r="E17" s="15" t="s">
        <v>119</v>
      </c>
      <c r="F17" s="25" t="s">
        <v>152</v>
      </c>
      <c r="G17" s="29" t="s">
        <v>189</v>
      </c>
      <c r="H17" s="20" t="s">
        <v>114</v>
      </c>
      <c r="I17" s="14" t="s">
        <v>153</v>
      </c>
      <c r="J17" s="13" t="s">
        <v>123</v>
      </c>
      <c r="K17" s="29" t="s">
        <v>188</v>
      </c>
    </row>
    <row r="18" spans="2:11" ht="200.1" customHeight="1">
      <c r="B18" s="16" t="s">
        <v>154</v>
      </c>
      <c r="C18" s="16" t="s">
        <v>142</v>
      </c>
      <c r="D18" s="17" t="s">
        <v>155</v>
      </c>
      <c r="E18" s="15" t="s">
        <v>119</v>
      </c>
      <c r="F18" s="26" t="s">
        <v>156</v>
      </c>
      <c r="G18" s="28" t="s">
        <v>190</v>
      </c>
      <c r="H18" s="20" t="s">
        <v>114</v>
      </c>
      <c r="I18" s="17" t="s">
        <v>153</v>
      </c>
      <c r="J18" s="16" t="s">
        <v>123</v>
      </c>
      <c r="K18" s="28" t="s">
        <v>177</v>
      </c>
    </row>
    <row r="19" spans="2:11" ht="200.1" customHeight="1">
      <c r="B19" s="13" t="s">
        <v>157</v>
      </c>
      <c r="C19" s="13" t="s">
        <v>142</v>
      </c>
      <c r="D19" s="14" t="s">
        <v>158</v>
      </c>
      <c r="E19" s="15" t="s">
        <v>119</v>
      </c>
      <c r="F19" s="25" t="s">
        <v>159</v>
      </c>
      <c r="G19" s="14" t="s">
        <v>160</v>
      </c>
      <c r="H19" s="20" t="s">
        <v>114</v>
      </c>
      <c r="I19" s="14" t="s">
        <v>161</v>
      </c>
      <c r="J19" s="13" t="s">
        <v>123</v>
      </c>
      <c r="K19" s="29" t="s">
        <v>178</v>
      </c>
    </row>
    <row r="20" spans="2:11" ht="200.1" customHeight="1">
      <c r="B20" s="16" t="s">
        <v>162</v>
      </c>
      <c r="C20" s="16" t="s">
        <v>142</v>
      </c>
      <c r="D20" s="17" t="s">
        <v>163</v>
      </c>
      <c r="E20" s="18" t="s">
        <v>101</v>
      </c>
      <c r="F20" s="26" t="s">
        <v>164</v>
      </c>
      <c r="G20" s="17" t="s">
        <v>165</v>
      </c>
      <c r="H20" s="19" t="s">
        <v>103</v>
      </c>
      <c r="I20" s="17" t="s">
        <v>166</v>
      </c>
      <c r="J20" s="16" t="s">
        <v>105</v>
      </c>
      <c r="K20" s="28" t="s">
        <v>167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Synthèse &amp; SMSI</vt:lpstr>
      <vt:lpstr>Décl. d'Applicabilité (SoA)</vt:lpstr>
      <vt:lpstr>Matrice d'Audit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Caroline Heymes</cp:lastModifiedBy>
  <dcterms:created xsi:type="dcterms:W3CDTF">2026-06-11T07:14:21Z</dcterms:created>
  <dcterms:modified xsi:type="dcterms:W3CDTF">2026-06-11T08:58:51Z</dcterms:modified>
</cp:coreProperties>
</file>